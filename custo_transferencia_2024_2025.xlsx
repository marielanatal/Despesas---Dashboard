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MVT CAMPINAS SOLUCOES TRANSPORTES LTDA\Imagens\Controladoria\VIABILIDADES\2025\Fechamento Anual\"/>
    </mc:Choice>
  </mc:AlternateContent>
  <xr:revisionPtr revIDLastSave="0" documentId="8_{959588FC-9603-4835-9A82-36B6B7ECD7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HADO (2025)" sheetId="4" r:id="rId1"/>
    <sheet name="RESUMO GERAL" sheetId="6" r:id="rId2"/>
  </sheets>
  <definedNames>
    <definedName name="_xlnm._FilterDatabase" localSheetId="0" hidden="1">'DETALHADO (2025)'!$B$3:$J$16</definedName>
    <definedName name="_xlnm._FilterDatabase" localSheetId="1" hidden="1">'RESUMO GERAL'!$A$1:$C$8</definedName>
    <definedName name="_xlnm.Print_Area" localSheetId="0">'DETALHADO (2025)'!$B$2:$J$16</definedName>
    <definedName name="_xlnm.Print_Area" localSheetId="1">'RESUMO GERAL'!$A$1:$C$8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D13" i="4" l="1"/>
  <c r="D11" i="4" l="1"/>
  <c r="D16" i="4" s="1"/>
  <c r="E15" i="4"/>
  <c r="J15" i="4" s="1"/>
  <c r="E14" i="4"/>
  <c r="E13" i="4"/>
  <c r="E12" i="4"/>
  <c r="E11" i="4"/>
  <c r="E10" i="4"/>
  <c r="E9" i="4"/>
  <c r="E8" i="4"/>
  <c r="E7" i="4"/>
  <c r="E6" i="4"/>
  <c r="E5" i="4"/>
  <c r="E4" i="4"/>
  <c r="H16" i="4" l="1"/>
  <c r="G16" i="4"/>
  <c r="F16" i="4"/>
  <c r="C16" i="4"/>
  <c r="E16" i="4" s="1"/>
  <c r="I15" i="4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16" i="4" l="1"/>
  <c r="J16" i="4" s="1"/>
</calcChain>
</file>

<file path=xl/sharedStrings.xml><?xml version="1.0" encoding="utf-8"?>
<sst xmlns="http://schemas.openxmlformats.org/spreadsheetml/2006/main" count="41" uniqueCount="23">
  <si>
    <t>TOTAL</t>
  </si>
  <si>
    <t>TRANSFERENCIAS</t>
  </si>
  <si>
    <t>CUSTOS</t>
  </si>
  <si>
    <t>AGREGADOS</t>
  </si>
  <si>
    <t>AVULSOS</t>
  </si>
  <si>
    <t>FROTA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</si>
  <si>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</si>
  <si>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</si>
  <si>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</si>
  <si>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</si>
  <si>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</si>
  <si>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</si>
  <si>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</si>
  <si>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</si>
  <si>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</si>
  <si>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</si>
  <si>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</si>
  <si>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%</t>
  </si>
  <si>
    <t>MÊS</t>
  </si>
  <si>
    <t>NF.</t>
  </si>
  <si>
    <t>FATURAMENTO S/ICMS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</si>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</sst>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_-&quot;R$&quot;\ * #,##0_-;\-&quot;R$&quot;\ * #,##0_-;_-&quot;R$&quot;\ * &quot;-&quot;??_-;_-@_-"/>
  </numFmts>
  <fonts count="6" x14ac:knownFonts="1">
    <font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2" applyFont="1" applyAlignment="1">
      <alignment horizontal="center"/>
    </xf>
    <xf numFmtId="4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5" fontId="3" fillId="3" borderId="2" xfId="2" applyNumberFormat="1" applyFont="1" applyFill="1" applyBorder="1" applyAlignment="1">
      <alignment vertical="center"/>
    </xf>
    <xf numFmtId="165" fontId="3" fillId="4" borderId="2" xfId="2" applyNumberFormat="1" applyFont="1" applyFill="1" applyBorder="1" applyAlignment="1">
      <alignment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5" fontId="3" fillId="3" borderId="3" xfId="2" applyNumberFormat="1" applyFont="1" applyFill="1" applyBorder="1" applyAlignment="1">
      <alignment vertical="center"/>
    </xf>
    <xf numFmtId="165" fontId="3" fillId="4" borderId="3" xfId="2" applyNumberFormat="1" applyFont="1" applyFill="1" applyBorder="1" applyAlignment="1">
      <alignment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5" fontId="3" fillId="3" borderId="4" xfId="2" applyNumberFormat="1" applyFont="1" applyFill="1" applyBorder="1" applyAlignment="1">
      <alignment vertical="center"/>
    </xf>
    <xf numFmtId="165" fontId="3" fillId="4" borderId="4" xfId="2" applyNumberFormat="1" applyFont="1" applyFill="1" applyBorder="1" applyAlignment="1">
      <alignment vertical="center"/>
    </xf>
    <xf numFmtId="164" fontId="4" fillId="0" borderId="4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/>
    </xf>
    <xf numFmtId="165" fontId="1" fillId="4" borderId="1" xfId="2" applyNumberFormat="1" applyFont="1" applyFill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164" fontId="4" fillId="0" borderId="5" xfId="1" applyNumberFormat="1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3"/>
  <sheetViews>
    <sheetView workbookViewId="0">
      <selection activeCell="J4" sqref="J4:J15"/>
    </sheetView>
  </sheetViews>
  <sheetFormatPr defaultRowHeight="15.6" x14ac:dyDescent="0.3"/>
  <cols>
    <col min="1" max="1" width="5.59765625" customWidth="1"/>
    <col min="2" max="2" width="20.59765625" style="1" customWidth="1"/>
    <col min="3" max="9" width="15.59765625" style="2" customWidth="1"/>
    <col min="10" max="10" width="12.59765625" style="2" customWidth="1"/>
  </cols>
  <sheetData>
    <row r="1" spans="2:10" ht="16.2" thickBot="1" x14ac:dyDescent="0.35"/>
    <row r="2" spans="2:10" ht="20.100000000000001" customHeight="1" thickBot="1" x14ac:dyDescent="0.35">
      <c r="B2" s="6"/>
      <c r="C2" s="27" t="s">
        <v>20</v>
      </c>
      <c r="D2" s="27"/>
      <c r="E2" s="27"/>
      <c r="F2" s="26" t="s">
        <v>2</v>
      </c>
      <c r="G2" s="26"/>
      <c r="H2" s="26"/>
      <c r="I2" s="26"/>
      <c r="J2" s="7"/>
    </row>
    <row r="3" spans="2:10" ht="20.100000000000001" customHeight="1" thickBot="1" x14ac:dyDescent="0.35">
      <c r="B3" s="8" t="s">
        <v>18</v>
      </c>
      <c r="C3" s="8" t="s">
        <v>1</v>
      </c>
      <c r="D3" s="8" t="s">
        <v>19</v>
      </c>
      <c r="E3" s="8" t="s">
        <v>0</v>
      </c>
      <c r="F3" s="8" t="s">
        <v>3</v>
      </c>
      <c r="G3" s="8" t="s">
        <v>4</v>
      </c>
      <c r="H3" s="8" t="s">
        <v>5</v>
      </c>
      <c r="I3" s="8" t="s">
        <v>0</v>
      </c>
      <c r="J3" s="8" t="s">
        <v>17</v>
      </c>
    </row>
    <row r="4" spans="2:10" ht="20.100000000000001" customHeight="1" x14ac:dyDescent="0.3">
      <c r="B4" s="9" t="s">
        <v>6</v>
      </c>
      <c r="C4" s="10">
        <v>7513647.0339997215</v>
      </c>
      <c r="D4" s="10">
        <v>212474.12000000002</v>
      </c>
      <c r="E4" s="10">
        <f>D4+C4</f>
        <v>7726121.1539997216</v>
      </c>
      <c r="F4" s="11">
        <v>1137954.04</v>
      </c>
      <c r="G4" s="11">
        <v>242036.33</v>
      </c>
      <c r="H4" s="11">
        <v>49975.28</v>
      </c>
      <c r="I4" s="11">
        <f>SUM(F4:H4)</f>
        <v>1429965.6500000001</v>
      </c>
      <c r="J4" s="12">
        <f>IF(E4=0,"",I4/E4)</f>
        <v>0.18508196046857534</v>
      </c>
    </row>
    <row r="5" spans="2:10" ht="20.100000000000001" customHeight="1" x14ac:dyDescent="0.3">
      <c r="B5" s="13" t="s">
        <v>7</v>
      </c>
      <c r="C5" s="14">
        <v>8306773.7200000007</v>
      </c>
      <c r="D5" s="14">
        <v>155681.52000000002</v>
      </c>
      <c r="E5" s="14">
        <f t="shared" ref="E5:E16" si="0">D5+C5</f>
        <v>8462455.2400000002</v>
      </c>
      <c r="F5" s="15">
        <v>1164594.06</v>
      </c>
      <c r="G5" s="15">
        <v>168500</v>
      </c>
      <c r="H5" s="15">
        <v>40241.72</v>
      </c>
      <c r="I5" s="15">
        <f t="shared" ref="I5:I16" si="1">SUM(F5:H5)</f>
        <v>1373335.78</v>
      </c>
      <c r="J5" s="16">
        <f t="shared" ref="J5:J16" si="2">IF(E5=0,"",I5/E5)</f>
        <v>0.16228573635563479</v>
      </c>
    </row>
    <row r="6" spans="2:10" ht="20.100000000000001" customHeight="1" x14ac:dyDescent="0.3">
      <c r="B6" s="13" t="s">
        <v>8</v>
      </c>
      <c r="C6" s="14">
        <v>8365253.2899999991</v>
      </c>
      <c r="D6" s="14">
        <v>191399.07000000004</v>
      </c>
      <c r="E6" s="14">
        <f t="shared" si="0"/>
        <v>8556652.3599999994</v>
      </c>
      <c r="F6" s="15">
        <v>1166401.27</v>
      </c>
      <c r="G6" s="15">
        <v>200900</v>
      </c>
      <c r="H6" s="15">
        <v>55529.36</v>
      </c>
      <c r="I6" s="15">
        <f t="shared" si="1"/>
        <v>1422830.6300000001</v>
      </c>
      <c r="J6" s="16">
        <f t="shared" si="2"/>
        <v>0.16628356162409294</v>
      </c>
    </row>
    <row r="7" spans="2:10" ht="20.100000000000001" customHeight="1" x14ac:dyDescent="0.3">
      <c r="B7" s="13" t="s">
        <v>9</v>
      </c>
      <c r="C7" s="14">
        <v>8086957.1089997059</v>
      </c>
      <c r="D7" s="14">
        <v>126319.65</v>
      </c>
      <c r="E7" s="14">
        <f t="shared" si="0"/>
        <v>8213276.7589997062</v>
      </c>
      <c r="F7" s="15">
        <v>1149983.17</v>
      </c>
      <c r="G7" s="15">
        <v>158680</v>
      </c>
      <c r="H7" s="15">
        <v>40720.82</v>
      </c>
      <c r="I7" s="15">
        <f t="shared" si="1"/>
        <v>1349383.99</v>
      </c>
      <c r="J7" s="16">
        <f t="shared" si="2"/>
        <v>0.1642930135675035</v>
      </c>
    </row>
    <row r="8" spans="2:10" ht="20.100000000000001" customHeight="1" x14ac:dyDescent="0.3">
      <c r="B8" s="13" t="s">
        <v>10</v>
      </c>
      <c r="C8" s="14">
        <v>8669338.190999981</v>
      </c>
      <c r="D8" s="14">
        <v>137075.04999999999</v>
      </c>
      <c r="E8" s="14">
        <f t="shared" si="0"/>
        <v>8806413.2409999818</v>
      </c>
      <c r="F8" s="15">
        <v>1143528.4000000001</v>
      </c>
      <c r="G8" s="15">
        <v>184045.59</v>
      </c>
      <c r="H8" s="15">
        <v>86135.06</v>
      </c>
      <c r="I8" s="15">
        <f t="shared" si="1"/>
        <v>1413709.0500000003</v>
      </c>
      <c r="J8" s="16">
        <f t="shared" si="2"/>
        <v>0.16053176376259529</v>
      </c>
    </row>
    <row r="9" spans="2:10" ht="20.100000000000001" customHeight="1" x14ac:dyDescent="0.3">
      <c r="B9" s="13" t="s">
        <v>11</v>
      </c>
      <c r="C9" s="14">
        <v>8792433.7519999575</v>
      </c>
      <c r="D9" s="14">
        <v>119926.87999999995</v>
      </c>
      <c r="E9" s="14">
        <f t="shared" si="0"/>
        <v>8912360.6319999583</v>
      </c>
      <c r="F9" s="15">
        <v>1170648.69</v>
      </c>
      <c r="G9" s="15">
        <v>139144.76</v>
      </c>
      <c r="H9" s="15">
        <v>61657.94</v>
      </c>
      <c r="I9" s="15">
        <f t="shared" si="1"/>
        <v>1371451.39</v>
      </c>
      <c r="J9" s="16">
        <f t="shared" si="2"/>
        <v>0.15388194515780523</v>
      </c>
    </row>
    <row r="10" spans="2:10" ht="20.100000000000001" customHeight="1" x14ac:dyDescent="0.3">
      <c r="B10" s="13" t="s">
        <v>12</v>
      </c>
      <c r="C10" s="14">
        <v>9170923.8419993315</v>
      </c>
      <c r="D10" s="14">
        <v>113531.49999999997</v>
      </c>
      <c r="E10" s="14">
        <f t="shared" si="0"/>
        <v>9284455.3419993315</v>
      </c>
      <c r="F10" s="15">
        <v>1184052.6000000001</v>
      </c>
      <c r="G10" s="15">
        <v>169500</v>
      </c>
      <c r="H10" s="15">
        <v>72242.040000000008</v>
      </c>
      <c r="I10" s="15">
        <f t="shared" si="1"/>
        <v>1425794.6400000001</v>
      </c>
      <c r="J10" s="16">
        <f t="shared" si="2"/>
        <v>0.15356793559555934</v>
      </c>
    </row>
    <row r="11" spans="2:10" ht="20.100000000000001" customHeight="1" x14ac:dyDescent="0.3">
      <c r="B11" s="13" t="s">
        <v>13</v>
      </c>
      <c r="C11" s="14">
        <v>8811925.2410002854</v>
      </c>
      <c r="D11" s="14">
        <f>24500+118834.32</f>
        <v>143334.32</v>
      </c>
      <c r="E11" s="14">
        <f t="shared" si="0"/>
        <v>8955259.5610002857</v>
      </c>
      <c r="F11" s="15">
        <v>1281964.76</v>
      </c>
      <c r="G11" s="15">
        <v>138200</v>
      </c>
      <c r="H11" s="15">
        <v>68951.399999999994</v>
      </c>
      <c r="I11" s="15">
        <f t="shared" si="1"/>
        <v>1489116.1599999999</v>
      </c>
      <c r="J11" s="16">
        <f t="shared" si="2"/>
        <v>0.16628397533947842</v>
      </c>
    </row>
    <row r="12" spans="2:10" ht="20.100000000000001" customHeight="1" x14ac:dyDescent="0.3">
      <c r="B12" s="13" t="s">
        <v>14</v>
      </c>
      <c r="C12" s="14">
        <v>9462069.0930003319</v>
      </c>
      <c r="D12" s="14">
        <v>159082.26999999999</v>
      </c>
      <c r="E12" s="14">
        <f t="shared" si="0"/>
        <v>9621151.3630003314</v>
      </c>
      <c r="F12" s="15">
        <v>1249886.9100000006</v>
      </c>
      <c r="G12" s="15">
        <v>170170</v>
      </c>
      <c r="H12" s="15">
        <v>64172.740000000005</v>
      </c>
      <c r="I12" s="15">
        <f t="shared" si="1"/>
        <v>1484229.6500000006</v>
      </c>
      <c r="J12" s="16">
        <f t="shared" si="2"/>
        <v>0.15426736302141986</v>
      </c>
    </row>
    <row r="13" spans="2:10" ht="20.100000000000001" customHeight="1" x14ac:dyDescent="0.3">
      <c r="B13" s="13" t="s">
        <v>15</v>
      </c>
      <c r="C13" s="14">
        <v>9842461.9089999739</v>
      </c>
      <c r="D13" s="14">
        <f>122273.66+84000</f>
        <v>206273.66</v>
      </c>
      <c r="E13" s="14">
        <f t="shared" si="0"/>
        <v>10048735.568999974</v>
      </c>
      <c r="F13" s="15">
        <v>1388806</v>
      </c>
      <c r="G13" s="15">
        <v>183497</v>
      </c>
      <c r="H13" s="15">
        <v>44243.8</v>
      </c>
      <c r="I13" s="15">
        <f t="shared" si="1"/>
        <v>1616546.8</v>
      </c>
      <c r="J13" s="16">
        <f t="shared" si="2"/>
        <v>0.16087066764767846</v>
      </c>
    </row>
    <row r="14" spans="2:10" ht="20.100000000000001" customHeight="1" x14ac:dyDescent="0.3">
      <c r="B14" s="13" t="s">
        <v>16</v>
      </c>
      <c r="C14" s="14">
        <v>8873213.9549993947</v>
      </c>
      <c r="D14" s="14">
        <f>35306+84000</f>
        <v>119306</v>
      </c>
      <c r="E14" s="14">
        <f t="shared" si="0"/>
        <v>8992519.9549993947</v>
      </c>
      <c r="F14" s="15">
        <v>1436226</v>
      </c>
      <c r="G14" s="15">
        <v>165877</v>
      </c>
      <c r="H14" s="15">
        <v>39566</v>
      </c>
      <c r="I14" s="15">
        <f t="shared" si="1"/>
        <v>1641669</v>
      </c>
      <c r="J14" s="16">
        <f t="shared" si="2"/>
        <v>0.18255939472086616</v>
      </c>
    </row>
    <row r="15" spans="2:10" ht="20.100000000000001" customHeight="1" thickBot="1" x14ac:dyDescent="0.35">
      <c r="B15" s="17" t="s">
        <v>21</v>
      </c>
      <c r="C15" s="18">
        <v>8961980.7399995234</v>
      </c>
      <c r="D15" s="18">
        <v>97724</v>
      </c>
      <c r="E15" s="18">
        <f t="shared" si="0"/>
        <v>9059704.7399995234</v>
      </c>
      <c r="F15" s="19">
        <v>1267179</v>
      </c>
      <c r="G15" s="19">
        <v>155060</v>
      </c>
      <c r="H15" s="19">
        <v>56473.7</v>
      </c>
      <c r="I15" s="19">
        <f t="shared" si="1"/>
        <v>1478712.7</v>
      </c>
      <c r="J15" s="20">
        <f t="shared" si="2"/>
        <v>0.16321864149405799</v>
      </c>
    </row>
    <row r="16" spans="2:10" ht="20.100000000000001" customHeight="1" x14ac:dyDescent="0.3">
      <c r="B16" s="21" t="s">
        <v>0</v>
      </c>
      <c r="C16" s="22">
        <f>SUM(C4:C15)</f>
        <v>104856977.87599821</v>
      </c>
      <c r="D16" s="22">
        <f>SUM(D4:D15)</f>
        <v>1782128.04</v>
      </c>
      <c r="E16" s="22">
        <f t="shared" si="0"/>
        <v>106639105.91599822</v>
      </c>
      <c r="F16" s="23">
        <f>SUM(F4:F15)</f>
        <v>14741224.9</v>
      </c>
      <c r="G16" s="23">
        <f>SUM(G4:G15)</f>
        <v>2075610.68</v>
      </c>
      <c r="H16" s="23">
        <f>SUM(H4:H15)</f>
        <v>679909.86</v>
      </c>
      <c r="I16" s="24">
        <f t="shared" si="1"/>
        <v>17496745.440000001</v>
      </c>
      <c r="J16" s="25">
        <f t="shared" si="2"/>
        <v>0.16407438237322189</v>
      </c>
    </row>
    <row r="18" spans="5:9" x14ac:dyDescent="0.3">
      <c r="E18" s="5"/>
      <c r="F18" s="5"/>
      <c r="G18" s="5"/>
      <c r="H18" s="5"/>
      <c r="I18" s="5"/>
    </row>
    <row r="19" spans="5:9" x14ac:dyDescent="0.3">
      <c r="F19" s="3"/>
    </row>
    <row r="20" spans="5:9" x14ac:dyDescent="0.3">
      <c r="F20" s="3"/>
    </row>
    <row r="21" spans="5:9" x14ac:dyDescent="0.3">
      <c r="G21" s="3"/>
    </row>
    <row r="22" spans="5:9" x14ac:dyDescent="0.3">
      <c r="G22" s="3"/>
    </row>
    <row r="23" spans="5:9" x14ac:dyDescent="0.3">
      <c r="G23" s="4"/>
    </row>
  </sheetData>
  <autoFilter ref="B3:J16" xr:uid="{00000000-0009-0000-0000-000000000000}"/>
  <mergeCells count="2">
    <mergeCell ref="F2:I2"/>
    <mergeCell ref="C2:E2"/>
  </mergeCells>
  <pageMargins left="0.511811024" right="0.511811024" top="0.78740157499999996" bottom="0.78740157499999996" header="0.31496062000000002" footer="0.31496062000000002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4599-79ED-489A-96F1-A47C7561A23B}">
  <sheetPr>
    <pageSetUpPr fitToPage="1"/>
  </sheetPr>
  <dimension ref="A1:K15"/>
  <sheetViews>
    <sheetView tabSelected="1" workbookViewId="0">
      <selection activeCell="A2" sqref="A2"/>
    </sheetView>
  </sheetViews>
  <sheetFormatPr defaultRowHeight="15.6" x14ac:dyDescent="0.3"/>
  <cols>
    <col min="1" max="1" width="20.59765625" style="1" customWidth="1"/>
    <col min="2" max="2" width="8.3984375" style="1" bestFit="1" customWidth="1"/>
    <col min="3" max="3" width="12.59765625" style="2" customWidth="1"/>
  </cols>
  <sheetData>
    <row r="1" spans="1:11" x14ac:dyDescent="0.3">
      <c r="A1" s="28" t="s">
        <v>18</v>
      </c>
      <c r="B1" s="28" t="s">
        <v>22</v>
      </c>
      <c r="C1" s="28" t="s">
        <v>17</v>
      </c>
    </row>
    <row r="2" spans="1:11" x14ac:dyDescent="0.3">
      <c r="A2" s="29" t="s">
        <v>10</v>
      </c>
      <c r="B2" s="30">
        <v>2024</v>
      </c>
      <c r="C2" s="31">
        <v>0.1757</v>
      </c>
    </row>
    <row r="3" spans="1:11" x14ac:dyDescent="0.3">
      <c r="A3" s="29" t="s">
        <v>11</v>
      </c>
      <c r="B3" s="30">
        <v>2024</v>
      </c>
      <c r="C3" s="31">
        <v>0.17219999999999999</v>
      </c>
    </row>
    <row r="4" spans="1:11" x14ac:dyDescent="0.3">
      <c r="A4" s="29" t="s">
        <v>12</v>
      </c>
      <c r="B4" s="30">
        <v>2024</v>
      </c>
      <c r="C4" s="31">
        <v>0.15970000000000001</v>
      </c>
    </row>
    <row r="5" spans="1:11" x14ac:dyDescent="0.3">
      <c r="A5" s="29" t="s">
        <v>13</v>
      </c>
      <c r="B5" s="30">
        <v>2024</v>
      </c>
      <c r="C5" s="31">
        <v>0.17599999999999999</v>
      </c>
    </row>
    <row r="6" spans="1:11" x14ac:dyDescent="0.3">
      <c r="A6" s="29" t="s">
        <v>14</v>
      </c>
      <c r="B6" s="30">
        <v>2024</v>
      </c>
      <c r="C6" s="31">
        <v>0.17150000000000001</v>
      </c>
    </row>
    <row r="7" spans="1:11" x14ac:dyDescent="0.3">
      <c r="A7" s="29" t="s">
        <v>15</v>
      </c>
      <c r="B7" s="30">
        <v>2024</v>
      </c>
      <c r="C7" s="31">
        <v>0.158</v>
      </c>
    </row>
    <row r="8" spans="1:11" x14ac:dyDescent="0.3">
      <c r="A8" s="29" t="s">
        <v>16</v>
      </c>
      <c r="B8" s="30">
        <v>2024</v>
      </c>
      <c r="C8" s="31">
        <v>0.18659999999999999</v>
      </c>
    </row>
    <row r="9" spans="1:11" s="2" customFormat="1" x14ac:dyDescent="0.3">
      <c r="A9" s="29" t="s">
        <v>10</v>
      </c>
      <c r="B9" s="30">
        <v>2025</v>
      </c>
      <c r="C9" s="31">
        <v>0.16053176376259529</v>
      </c>
      <c r="D9"/>
      <c r="E9"/>
      <c r="F9"/>
      <c r="G9"/>
      <c r="H9"/>
      <c r="I9"/>
      <c r="J9"/>
      <c r="K9"/>
    </row>
    <row r="10" spans="1:11" s="2" customFormat="1" x14ac:dyDescent="0.3">
      <c r="A10" s="29" t="s">
        <v>11</v>
      </c>
      <c r="B10" s="30">
        <v>2025</v>
      </c>
      <c r="C10" s="31">
        <v>0.15388194515780523</v>
      </c>
      <c r="D10"/>
      <c r="E10"/>
      <c r="F10"/>
      <c r="G10"/>
      <c r="H10"/>
      <c r="I10"/>
      <c r="J10"/>
      <c r="K10"/>
    </row>
    <row r="11" spans="1:11" s="2" customFormat="1" x14ac:dyDescent="0.3">
      <c r="A11" s="29" t="s">
        <v>12</v>
      </c>
      <c r="B11" s="30">
        <v>2025</v>
      </c>
      <c r="C11" s="31">
        <v>0.15356793559555934</v>
      </c>
      <c r="D11"/>
      <c r="E11"/>
      <c r="F11"/>
      <c r="G11"/>
      <c r="H11"/>
      <c r="I11"/>
      <c r="J11"/>
      <c r="K11"/>
    </row>
    <row r="12" spans="1:11" s="2" customFormat="1" x14ac:dyDescent="0.3">
      <c r="A12" s="29" t="s">
        <v>13</v>
      </c>
      <c r="B12" s="30">
        <v>2025</v>
      </c>
      <c r="C12" s="31">
        <v>0.16628397533947842</v>
      </c>
      <c r="D12"/>
      <c r="E12"/>
      <c r="F12"/>
      <c r="G12"/>
      <c r="H12"/>
      <c r="I12"/>
      <c r="J12"/>
      <c r="K12"/>
    </row>
    <row r="13" spans="1:11" x14ac:dyDescent="0.3">
      <c r="A13" s="29" t="s">
        <v>14</v>
      </c>
      <c r="B13" s="30">
        <v>2025</v>
      </c>
      <c r="C13" s="31">
        <v>0.15426736302141986</v>
      </c>
    </row>
    <row r="14" spans="1:11" x14ac:dyDescent="0.3">
      <c r="A14" s="29" t="s">
        <v>15</v>
      </c>
      <c r="B14" s="30">
        <v>2025</v>
      </c>
      <c r="C14" s="31">
        <v>0.16087066764767846</v>
      </c>
    </row>
    <row r="15" spans="1:11" x14ac:dyDescent="0.3">
      <c r="A15" s="29" t="s">
        <v>16</v>
      </c>
      <c r="B15" s="30">
        <v>2025</v>
      </c>
      <c r="C15" s="31">
        <v>0.18255939472086616</v>
      </c>
    </row>
  </sheetData>
  <autoFilter ref="A1:C8" xr:uid="{00000000-0009-0000-0000-000000000000}"/>
  <pageMargins left="0.511811024" right="0.511811024" top="0.78740157499999996" bottom="0.78740157499999996" header="0.31496062000000002" footer="0.31496062000000002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DETALHADO (2025)</vt:lpstr>
      <vt:lpstr>RESUMO GERAL</vt:lpstr>
      <vt:lpstr>'DETALHADO (2025)'!Area_de_impressao</vt:lpstr>
      <vt:lpstr>'RESUMO GERAL'!Area_de_impressao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MOVIMENTE1</dc:creator>
  <cp:lastModifiedBy>pc04</cp:lastModifiedBy>
  <cp:lastPrinted>2025-11-03T18:18:17Z</cp:lastPrinted>
  <dcterms:created xsi:type="dcterms:W3CDTF">2024-08-09T23:44:56Z</dcterms:created>
  <dcterms:modified xsi:type="dcterms:W3CDTF">2026-01-12T13:45:31Z</dcterms:modified>
</cp:coreProperties>
</file>